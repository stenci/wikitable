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fanomenci\Git\WikiTable\"/>
    </mc:Choice>
  </mc:AlternateContent>
  <bookViews>
    <workbookView xWindow="0" yWindow="0" windowWidth="30720" windowHeight="13515"/>
  </bookViews>
  <sheets>
    <sheet name="Table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3" i="1"/>
  <c r="P5" i="1"/>
  <c r="P9" i="1"/>
  <c r="P21" i="1"/>
  <c r="P25" i="1"/>
  <c r="P37" i="1"/>
  <c r="P41" i="1"/>
  <c r="G5" i="1"/>
  <c r="G7" i="1"/>
  <c r="P7" i="1" s="1"/>
  <c r="G9" i="1"/>
  <c r="G11" i="1"/>
  <c r="P11" i="1" s="1"/>
  <c r="G13" i="1"/>
  <c r="P13" i="1" s="1"/>
  <c r="G15" i="1"/>
  <c r="P15" i="1" s="1"/>
  <c r="G17" i="1"/>
  <c r="P17" i="1" s="1"/>
  <c r="G19" i="1"/>
  <c r="P19" i="1" s="1"/>
  <c r="G21" i="1"/>
  <c r="G23" i="1"/>
  <c r="P23" i="1" s="1"/>
  <c r="G25" i="1"/>
  <c r="G27" i="1"/>
  <c r="P27" i="1" s="1"/>
  <c r="G29" i="1"/>
  <c r="P29" i="1" s="1"/>
  <c r="G31" i="1"/>
  <c r="P31" i="1" s="1"/>
  <c r="G33" i="1"/>
  <c r="P33" i="1" s="1"/>
  <c r="G35" i="1"/>
  <c r="P35" i="1" s="1"/>
  <c r="G37" i="1"/>
  <c r="G39" i="1"/>
  <c r="P39" i="1" s="1"/>
  <c r="G41" i="1"/>
  <c r="G3" i="1"/>
  <c r="P3" i="1" s="1"/>
  <c r="L42" i="1" l="1"/>
  <c r="E42" i="1"/>
  <c r="N42" i="1" s="1"/>
  <c r="D42" i="1"/>
  <c r="N41" i="1"/>
  <c r="M41" i="1"/>
  <c r="L41" i="1"/>
  <c r="L40" i="1"/>
  <c r="E40" i="1"/>
  <c r="N40" i="1" s="1"/>
  <c r="D40" i="1"/>
  <c r="N39" i="1"/>
  <c r="M39" i="1"/>
  <c r="L39" i="1"/>
  <c r="L38" i="1"/>
  <c r="E38" i="1"/>
  <c r="N38" i="1" s="1"/>
  <c r="D38" i="1"/>
  <c r="N37" i="1"/>
  <c r="M37" i="1"/>
  <c r="L37" i="1"/>
  <c r="L36" i="1"/>
  <c r="E36" i="1"/>
  <c r="N36" i="1" s="1"/>
  <c r="D36" i="1"/>
  <c r="N35" i="1"/>
  <c r="M35" i="1"/>
  <c r="L35" i="1"/>
  <c r="L34" i="1"/>
  <c r="E34" i="1"/>
  <c r="N34" i="1" s="1"/>
  <c r="D34" i="1"/>
  <c r="N33" i="1"/>
  <c r="M33" i="1"/>
  <c r="L33" i="1"/>
  <c r="L32" i="1"/>
  <c r="E32" i="1"/>
  <c r="N32" i="1" s="1"/>
  <c r="D32" i="1"/>
  <c r="N31" i="1"/>
  <c r="M31" i="1"/>
  <c r="L31" i="1"/>
  <c r="L30" i="1"/>
  <c r="E30" i="1"/>
  <c r="N30" i="1" s="1"/>
  <c r="D30" i="1"/>
  <c r="N29" i="1"/>
  <c r="M29" i="1"/>
  <c r="L29" i="1"/>
  <c r="L28" i="1"/>
  <c r="E28" i="1"/>
  <c r="N28" i="1" s="1"/>
  <c r="D28" i="1"/>
  <c r="N27" i="1"/>
  <c r="M27" i="1"/>
  <c r="L27" i="1"/>
  <c r="L26" i="1"/>
  <c r="E26" i="1"/>
  <c r="N26" i="1" s="1"/>
  <c r="D26" i="1"/>
  <c r="N25" i="1"/>
  <c r="M25" i="1"/>
  <c r="L25" i="1"/>
  <c r="L24" i="1"/>
  <c r="E24" i="1"/>
  <c r="N24" i="1" s="1"/>
  <c r="D24" i="1"/>
  <c r="N23" i="1"/>
  <c r="M23" i="1"/>
  <c r="L23" i="1"/>
  <c r="L22" i="1"/>
  <c r="E22" i="1"/>
  <c r="N22" i="1" s="1"/>
  <c r="D22" i="1"/>
  <c r="N21" i="1"/>
  <c r="M21" i="1"/>
  <c r="L21" i="1"/>
  <c r="L20" i="1"/>
  <c r="E20" i="1"/>
  <c r="N20" i="1" s="1"/>
  <c r="D20" i="1"/>
  <c r="N19" i="1"/>
  <c r="M19" i="1"/>
  <c r="L19" i="1"/>
  <c r="L18" i="1"/>
  <c r="E18" i="1"/>
  <c r="N18" i="1" s="1"/>
  <c r="D18" i="1"/>
  <c r="N17" i="1"/>
  <c r="M17" i="1"/>
  <c r="L17" i="1"/>
  <c r="L16" i="1"/>
  <c r="E16" i="1"/>
  <c r="N16" i="1" s="1"/>
  <c r="D16" i="1"/>
  <c r="N15" i="1"/>
  <c r="M15" i="1"/>
  <c r="L15" i="1"/>
  <c r="L14" i="1"/>
  <c r="E14" i="1"/>
  <c r="N14" i="1" s="1"/>
  <c r="D14" i="1"/>
  <c r="N13" i="1"/>
  <c r="M13" i="1"/>
  <c r="L13" i="1"/>
  <c r="L12" i="1"/>
  <c r="E12" i="1"/>
  <c r="N12" i="1" s="1"/>
  <c r="D12" i="1"/>
  <c r="N11" i="1"/>
  <c r="M11" i="1"/>
  <c r="L11" i="1"/>
  <c r="L10" i="1"/>
  <c r="E10" i="1"/>
  <c r="N10" i="1" s="1"/>
  <c r="D10" i="1"/>
  <c r="N9" i="1"/>
  <c r="M9" i="1"/>
  <c r="L9" i="1"/>
  <c r="L8" i="1"/>
  <c r="E8" i="1"/>
  <c r="N8" i="1" s="1"/>
  <c r="D8" i="1"/>
  <c r="N7" i="1"/>
  <c r="M7" i="1"/>
  <c r="L7" i="1"/>
  <c r="L6" i="1"/>
  <c r="E6" i="1"/>
  <c r="N6" i="1" s="1"/>
  <c r="D6" i="1"/>
  <c r="N5" i="1"/>
  <c r="M5" i="1"/>
  <c r="L5" i="1"/>
  <c r="L4" i="1"/>
  <c r="E4" i="1"/>
  <c r="N4" i="1" s="1"/>
  <c r="D4" i="1"/>
  <c r="N3" i="1"/>
  <c r="M3" i="1"/>
  <c r="L3" i="1"/>
  <c r="M6" i="1" l="1"/>
  <c r="G6" i="1"/>
  <c r="P6" i="1" s="1"/>
  <c r="M18" i="1"/>
  <c r="G18" i="1"/>
  <c r="P18" i="1" s="1"/>
  <c r="M22" i="1"/>
  <c r="G22" i="1"/>
  <c r="P22" i="1" s="1"/>
  <c r="M10" i="1"/>
  <c r="G10" i="1"/>
  <c r="P10" i="1" s="1"/>
  <c r="M14" i="1"/>
  <c r="G14" i="1"/>
  <c r="P14" i="1" s="1"/>
  <c r="M26" i="1"/>
  <c r="G26" i="1"/>
  <c r="P26" i="1" s="1"/>
  <c r="M30" i="1"/>
  <c r="G30" i="1"/>
  <c r="P30" i="1" s="1"/>
  <c r="M34" i="1"/>
  <c r="G34" i="1"/>
  <c r="P34" i="1" s="1"/>
  <c r="M38" i="1"/>
  <c r="G38" i="1"/>
  <c r="P38" i="1" s="1"/>
  <c r="M42" i="1"/>
  <c r="G42" i="1"/>
  <c r="P42" i="1" s="1"/>
  <c r="M4" i="1"/>
  <c r="G4" i="1"/>
  <c r="P4" i="1" s="1"/>
  <c r="M8" i="1"/>
  <c r="G8" i="1"/>
  <c r="P8" i="1" s="1"/>
  <c r="M12" i="1"/>
  <c r="G12" i="1"/>
  <c r="P12" i="1" s="1"/>
  <c r="M16" i="1"/>
  <c r="G16" i="1"/>
  <c r="P16" i="1" s="1"/>
  <c r="M20" i="1"/>
  <c r="G20" i="1"/>
  <c r="P20" i="1" s="1"/>
  <c r="M24" i="1"/>
  <c r="G24" i="1"/>
  <c r="P24" i="1" s="1"/>
  <c r="M28" i="1"/>
  <c r="G28" i="1"/>
  <c r="P28" i="1" s="1"/>
  <c r="M32" i="1"/>
  <c r="G32" i="1"/>
  <c r="P32" i="1" s="1"/>
  <c r="M36" i="1"/>
  <c r="G36" i="1"/>
  <c r="P36" i="1" s="1"/>
  <c r="M40" i="1"/>
  <c r="G40" i="1"/>
  <c r="P40" i="1" s="1"/>
</calcChain>
</file>

<file path=xl/sharedStrings.xml><?xml version="1.0" encoding="utf-8"?>
<sst xmlns="http://schemas.openxmlformats.org/spreadsheetml/2006/main" count="101" uniqueCount="22">
  <si>
    <t>Kg/m2</t>
  </si>
  <si>
    <t>lb/ft2</t>
  </si>
  <si>
    <t>Nominal</t>
  </si>
  <si>
    <t>Tolerance</t>
  </si>
  <si>
    <t>Imperial</t>
  </si>
  <si>
    <t>Material</t>
  </si>
  <si>
    <t>Trimmed</t>
  </si>
  <si>
    <t>No</t>
  </si>
  <si>
    <t>Yes</t>
  </si>
  <si>
    <t>[tectiva]</t>
  </si>
  <si>
    <t>[natura]</t>
  </si>
  <si>
    <t>[natura pro]</t>
  </si>
  <si>
    <t>[pictura]</t>
  </si>
  <si>
    <t>[textura]</t>
  </si>
  <si>
    <t>Kg/sheet</t>
  </si>
  <si>
    <t>lb/sheet</t>
  </si>
  <si>
    <t>Weight</t>
  </si>
  <si>
    <t>Th</t>
  </si>
  <si>
    <t>Width</t>
  </si>
  <si>
    <t>Length</t>
  </si>
  <si>
    <t>Squareness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</si>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</sst>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2"/>
      <color rgb="FF993366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2</xdr:row>
          <xdr:rowOff>180975</xdr:rowOff>
        </xdr:from>
        <xdr:to>
          <xdr:col>6</xdr:col>
          <xdr:colOff>95250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993366"/>
                  </a:solidFill>
                  <a:latin typeface="Calibri"/>
                </a:rPr>
                <a:t>Copy wiki format to the clipboard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ble"/>
  <dimension ref="A1:P42"/>
  <sheetViews>
    <sheetView tabSelected="1" workbookViewId="0">
      <selection sqref="A1:B1"/>
    </sheetView>
  </sheetViews>
  <sheetFormatPr defaultRowHeight="15" x14ac:dyDescent="0.25"/>
  <cols>
    <col min="1" max="1" width="11.5703125" bestFit="1" customWidth="1"/>
    <col min="2" max="2" width="9" bestFit="1" customWidth="1"/>
    <col min="3" max="3" width="3" bestFit="1" customWidth="1"/>
    <col min="4" max="4" width="6.7109375" bestFit="1" customWidth="1"/>
    <col min="5" max="5" width="6.140625" bestFit="1" customWidth="1"/>
    <col min="6" max="6" width="6.7109375" bestFit="1" customWidth="1"/>
    <col min="7" max="7" width="9" bestFit="1" customWidth="1"/>
    <col min="8" max="8" width="4" bestFit="1" customWidth="1"/>
    <col min="9" max="9" width="6.7109375" bestFit="1" customWidth="1"/>
    <col min="10" max="10" width="6.140625" bestFit="1" customWidth="1"/>
    <col min="11" max="11" width="11" bestFit="1" customWidth="1"/>
    <col min="12" max="12" width="4.5703125" bestFit="1" customWidth="1"/>
    <col min="13" max="13" width="6.7109375" bestFit="1" customWidth="1"/>
    <col min="14" max="14" width="6.140625" bestFit="1" customWidth="1"/>
    <col min="15" max="15" width="6" bestFit="1" customWidth="1"/>
    <col min="16" max="16" width="8.5703125" bestFit="1" customWidth="1"/>
  </cols>
  <sheetData>
    <row r="1" spans="1:16" x14ac:dyDescent="0.25">
      <c r="A1" s="9" t="s">
        <v>5</v>
      </c>
      <c r="B1" s="9"/>
      <c r="C1" s="8" t="s">
        <v>2</v>
      </c>
      <c r="D1" s="8"/>
      <c r="E1" s="8"/>
      <c r="F1" s="8" t="s">
        <v>16</v>
      </c>
      <c r="G1" s="8"/>
      <c r="H1" s="8" t="s">
        <v>3</v>
      </c>
      <c r="I1" s="8"/>
      <c r="J1" s="8"/>
      <c r="K1" s="8"/>
      <c r="L1" s="8" t="s">
        <v>4</v>
      </c>
      <c r="M1" s="8"/>
      <c r="N1" s="8"/>
      <c r="O1" s="8"/>
      <c r="P1" s="8"/>
    </row>
    <row r="2" spans="1:16" x14ac:dyDescent="0.25">
      <c r="A2" s="7" t="s">
        <v>21</v>
      </c>
      <c r="B2" s="7" t="s">
        <v>6</v>
      </c>
      <c r="C2" s="6" t="s">
        <v>17</v>
      </c>
      <c r="D2" s="6" t="s">
        <v>19</v>
      </c>
      <c r="E2" s="6" t="s">
        <v>18</v>
      </c>
      <c r="F2" s="6" t="s">
        <v>0</v>
      </c>
      <c r="G2" s="6" t="s">
        <v>14</v>
      </c>
      <c r="H2" s="6" t="s">
        <v>17</v>
      </c>
      <c r="I2" s="6" t="s">
        <v>19</v>
      </c>
      <c r="J2" s="6" t="s">
        <v>18</v>
      </c>
      <c r="K2" s="6" t="s">
        <v>20</v>
      </c>
      <c r="L2" s="6" t="s">
        <v>17</v>
      </c>
      <c r="M2" s="6" t="s">
        <v>19</v>
      </c>
      <c r="N2" s="6" t="s">
        <v>18</v>
      </c>
      <c r="O2" s="6" t="s">
        <v>1</v>
      </c>
      <c r="P2" s="6" t="s">
        <v>15</v>
      </c>
    </row>
    <row r="3" spans="1:16" x14ac:dyDescent="0.25">
      <c r="A3" s="2" t="s">
        <v>9</v>
      </c>
      <c r="B3" s="2" t="s">
        <v>7</v>
      </c>
      <c r="C3" s="1">
        <v>8</v>
      </c>
      <c r="D3" s="1">
        <v>3070</v>
      </c>
      <c r="E3" s="1">
        <v>1240</v>
      </c>
      <c r="F3" s="1">
        <v>14.9</v>
      </c>
      <c r="G3" s="3">
        <f>F3/1000000*D3*E3</f>
        <v>56.721319999999999</v>
      </c>
      <c r="H3" s="1">
        <v>0.5</v>
      </c>
      <c r="I3" s="1">
        <v>5</v>
      </c>
      <c r="J3" s="1">
        <v>5</v>
      </c>
      <c r="K3" s="3">
        <v>2</v>
      </c>
      <c r="L3" s="4">
        <f>C3/25.4</f>
        <v>0.31496062992125984</v>
      </c>
      <c r="M3" s="4">
        <f>D3/25.4</f>
        <v>120.86614173228347</v>
      </c>
      <c r="N3" s="4">
        <f>E3/25.4</f>
        <v>48.818897637795281</v>
      </c>
      <c r="O3" s="5">
        <f>F3*2.20462/1000000*25.4*25.4*12*12</f>
        <v>3.0517569106675202</v>
      </c>
      <c r="P3" s="5">
        <f>G3*2.20462</f>
        <v>125.04895649839999</v>
      </c>
    </row>
    <row r="4" spans="1:16" x14ac:dyDescent="0.25">
      <c r="A4" s="2" t="s">
        <v>9</v>
      </c>
      <c r="B4" s="2" t="s">
        <v>8</v>
      </c>
      <c r="C4" s="1">
        <v>8</v>
      </c>
      <c r="D4" s="1">
        <f>D3-20</f>
        <v>3050</v>
      </c>
      <c r="E4" s="1">
        <f>E3-20</f>
        <v>1220</v>
      </c>
      <c r="F4" s="1">
        <v>14.9</v>
      </c>
      <c r="G4" s="3">
        <f t="shared" ref="G4:G42" si="0">F4/1000000*D4*E4</f>
        <v>55.442900000000002</v>
      </c>
      <c r="H4" s="1">
        <v>0.5</v>
      </c>
      <c r="I4" s="1">
        <v>3</v>
      </c>
      <c r="J4" s="1">
        <v>3</v>
      </c>
      <c r="K4" s="3">
        <v>1</v>
      </c>
      <c r="L4" s="4">
        <f t="shared" ref="L4:N42" si="1">C4/25.4</f>
        <v>0.31496062992125984</v>
      </c>
      <c r="M4" s="4">
        <f t="shared" si="1"/>
        <v>120.07874015748033</v>
      </c>
      <c r="N4" s="4">
        <f t="shared" si="1"/>
        <v>48.031496062992126</v>
      </c>
      <c r="O4" s="5">
        <f t="shared" ref="O4:O42" si="2">F4*2.20462/1000000*25.4*25.4*12*12</f>
        <v>3.0517569106675202</v>
      </c>
      <c r="P4" s="5">
        <f t="shared" ref="P4:P42" si="3">G4*2.20462</f>
        <v>122.23052619799999</v>
      </c>
    </row>
    <row r="5" spans="1:16" x14ac:dyDescent="0.25">
      <c r="A5" s="2" t="s">
        <v>9</v>
      </c>
      <c r="B5" s="2" t="s">
        <v>7</v>
      </c>
      <c r="C5" s="1">
        <v>8</v>
      </c>
      <c r="D5" s="1">
        <v>2520</v>
      </c>
      <c r="E5" s="1">
        <v>1240</v>
      </c>
      <c r="F5" s="1">
        <v>14.9</v>
      </c>
      <c r="G5" s="3">
        <f t="shared" si="0"/>
        <v>46.559519999999999</v>
      </c>
      <c r="H5" s="1">
        <v>0.5</v>
      </c>
      <c r="I5" s="1">
        <v>5</v>
      </c>
      <c r="J5" s="1">
        <v>5</v>
      </c>
      <c r="K5" s="3">
        <v>2</v>
      </c>
      <c r="L5" s="4">
        <f t="shared" si="1"/>
        <v>0.31496062992125984</v>
      </c>
      <c r="M5" s="4">
        <f t="shared" si="1"/>
        <v>99.212598425196859</v>
      </c>
      <c r="N5" s="4">
        <f t="shared" si="1"/>
        <v>48.818897637795281</v>
      </c>
      <c r="O5" s="5">
        <f t="shared" si="2"/>
        <v>3.0517569106675202</v>
      </c>
      <c r="P5" s="5">
        <f t="shared" si="3"/>
        <v>102.64604898239999</v>
      </c>
    </row>
    <row r="6" spans="1:16" x14ac:dyDescent="0.25">
      <c r="A6" s="2" t="s">
        <v>9</v>
      </c>
      <c r="B6" s="2" t="s">
        <v>8</v>
      </c>
      <c r="C6" s="1">
        <v>8</v>
      </c>
      <c r="D6" s="1">
        <f>D5-20</f>
        <v>2500</v>
      </c>
      <c r="E6" s="1">
        <f>E5-20</f>
        <v>1220</v>
      </c>
      <c r="F6" s="1">
        <v>14.9</v>
      </c>
      <c r="G6" s="3">
        <f t="shared" si="0"/>
        <v>45.445</v>
      </c>
      <c r="H6" s="1">
        <v>0.5</v>
      </c>
      <c r="I6" s="1">
        <v>3</v>
      </c>
      <c r="J6" s="1">
        <v>3</v>
      </c>
      <c r="K6" s="3">
        <v>1</v>
      </c>
      <c r="L6" s="4">
        <f t="shared" si="1"/>
        <v>0.31496062992125984</v>
      </c>
      <c r="M6" s="4">
        <f t="shared" si="1"/>
        <v>98.425196850393704</v>
      </c>
      <c r="N6" s="4">
        <f t="shared" si="1"/>
        <v>48.031496062992126</v>
      </c>
      <c r="O6" s="5">
        <f t="shared" si="2"/>
        <v>3.0517569106675202</v>
      </c>
      <c r="P6" s="5">
        <f t="shared" si="3"/>
        <v>100.1889559</v>
      </c>
    </row>
    <row r="7" spans="1:16" x14ac:dyDescent="0.25">
      <c r="A7" s="2" t="s">
        <v>10</v>
      </c>
      <c r="B7" s="2" t="s">
        <v>7</v>
      </c>
      <c r="C7" s="1">
        <v>8</v>
      </c>
      <c r="D7" s="1">
        <v>3130</v>
      </c>
      <c r="E7" s="1">
        <v>1280</v>
      </c>
      <c r="F7" s="1">
        <v>15.4</v>
      </c>
      <c r="G7" s="3">
        <f t="shared" si="0"/>
        <v>61.698560000000001</v>
      </c>
      <c r="H7" s="1">
        <v>0.6</v>
      </c>
      <c r="I7" s="1">
        <v>12</v>
      </c>
      <c r="J7" s="1">
        <v>6</v>
      </c>
      <c r="K7" s="3">
        <v>2.5</v>
      </c>
      <c r="L7" s="4">
        <f t="shared" si="1"/>
        <v>0.31496062992125984</v>
      </c>
      <c r="M7" s="4">
        <f>D7/25.4</f>
        <v>123.22834645669292</v>
      </c>
      <c r="N7" s="4">
        <f>E7/25.4</f>
        <v>50.393700787401578</v>
      </c>
      <c r="O7" s="5">
        <f t="shared" si="2"/>
        <v>3.15416486068992</v>
      </c>
      <c r="P7" s="5">
        <f t="shared" si="3"/>
        <v>136.02187934719998</v>
      </c>
    </row>
    <row r="8" spans="1:16" x14ac:dyDescent="0.25">
      <c r="A8" s="2" t="s">
        <v>10</v>
      </c>
      <c r="B8" s="2" t="s">
        <v>8</v>
      </c>
      <c r="C8" s="1">
        <v>8</v>
      </c>
      <c r="D8" s="1">
        <f>D7-30</f>
        <v>3100</v>
      </c>
      <c r="E8" s="1">
        <f>E7-30</f>
        <v>1250</v>
      </c>
      <c r="F8" s="1">
        <v>15.4</v>
      </c>
      <c r="G8" s="3">
        <f t="shared" si="0"/>
        <v>59.675000000000004</v>
      </c>
      <c r="H8" s="1">
        <v>0.6</v>
      </c>
      <c r="I8" s="1">
        <v>1</v>
      </c>
      <c r="J8" s="1">
        <v>1</v>
      </c>
      <c r="K8" s="3">
        <v>1</v>
      </c>
      <c r="L8" s="4">
        <f t="shared" si="1"/>
        <v>0.31496062992125984</v>
      </c>
      <c r="M8" s="4">
        <f t="shared" si="1"/>
        <v>122.04724409448819</v>
      </c>
      <c r="N8" s="4">
        <f t="shared" si="1"/>
        <v>49.212598425196852</v>
      </c>
      <c r="O8" s="5">
        <f t="shared" si="2"/>
        <v>3.15416486068992</v>
      </c>
      <c r="P8" s="5">
        <f t="shared" si="3"/>
        <v>131.5606985</v>
      </c>
    </row>
    <row r="9" spans="1:16" x14ac:dyDescent="0.25">
      <c r="A9" s="2" t="s">
        <v>10</v>
      </c>
      <c r="B9" s="2" t="s">
        <v>7</v>
      </c>
      <c r="C9" s="1">
        <v>8</v>
      </c>
      <c r="D9" s="1">
        <v>2530</v>
      </c>
      <c r="E9" s="1">
        <v>1280</v>
      </c>
      <c r="F9" s="1">
        <v>15.4</v>
      </c>
      <c r="G9" s="3">
        <f t="shared" si="0"/>
        <v>49.871360000000003</v>
      </c>
      <c r="H9" s="1">
        <v>0.6</v>
      </c>
      <c r="I9" s="1">
        <v>12</v>
      </c>
      <c r="J9" s="1">
        <v>6</v>
      </c>
      <c r="K9" s="3">
        <v>2.5</v>
      </c>
      <c r="L9" s="4">
        <f t="shared" si="1"/>
        <v>0.31496062992125984</v>
      </c>
      <c r="M9" s="4">
        <f t="shared" si="1"/>
        <v>99.606299212598429</v>
      </c>
      <c r="N9" s="4">
        <f t="shared" si="1"/>
        <v>50.393700787401578</v>
      </c>
      <c r="O9" s="5">
        <f t="shared" si="2"/>
        <v>3.15416486068992</v>
      </c>
      <c r="P9" s="5">
        <f t="shared" si="3"/>
        <v>109.94739768319999</v>
      </c>
    </row>
    <row r="10" spans="1:16" x14ac:dyDescent="0.25">
      <c r="A10" s="2" t="s">
        <v>10</v>
      </c>
      <c r="B10" s="2" t="s">
        <v>8</v>
      </c>
      <c r="C10" s="1">
        <v>8</v>
      </c>
      <c r="D10" s="1">
        <f>D9-30</f>
        <v>2500</v>
      </c>
      <c r="E10" s="1">
        <f>E9-30</f>
        <v>1250</v>
      </c>
      <c r="F10" s="1">
        <v>15.4</v>
      </c>
      <c r="G10" s="3">
        <f t="shared" si="0"/>
        <v>48.125000000000007</v>
      </c>
      <c r="H10" s="1">
        <v>0.6</v>
      </c>
      <c r="I10" s="1">
        <v>1</v>
      </c>
      <c r="J10" s="1">
        <v>1</v>
      </c>
      <c r="K10" s="3">
        <v>1</v>
      </c>
      <c r="L10" s="4">
        <f t="shared" si="1"/>
        <v>0.31496062992125984</v>
      </c>
      <c r="M10" s="4">
        <f t="shared" si="1"/>
        <v>98.425196850393704</v>
      </c>
      <c r="N10" s="4">
        <f t="shared" si="1"/>
        <v>49.212598425196852</v>
      </c>
      <c r="O10" s="5">
        <f t="shared" si="2"/>
        <v>3.15416486068992</v>
      </c>
      <c r="P10" s="5">
        <f t="shared" si="3"/>
        <v>106.09733750000001</v>
      </c>
    </row>
    <row r="11" spans="1:16" x14ac:dyDescent="0.25">
      <c r="A11" s="2" t="s">
        <v>10</v>
      </c>
      <c r="B11" s="2" t="s">
        <v>7</v>
      </c>
      <c r="C11" s="1">
        <v>12</v>
      </c>
      <c r="D11" s="1">
        <v>3130</v>
      </c>
      <c r="E11" s="1">
        <v>1280</v>
      </c>
      <c r="F11" s="1">
        <v>22.8</v>
      </c>
      <c r="G11" s="3">
        <f t="shared" si="0"/>
        <v>91.345920000000007</v>
      </c>
      <c r="H11" s="1">
        <v>0.9</v>
      </c>
      <c r="I11" s="1">
        <v>16</v>
      </c>
      <c r="J11" s="1">
        <v>6</v>
      </c>
      <c r="K11" s="3">
        <v>2.5</v>
      </c>
      <c r="L11" s="4">
        <f t="shared" si="1"/>
        <v>0.47244094488188981</v>
      </c>
      <c r="M11" s="4">
        <f>D11/25.4</f>
        <v>123.22834645669292</v>
      </c>
      <c r="N11" s="4">
        <f>E11/25.4</f>
        <v>50.393700787401578</v>
      </c>
      <c r="O11" s="5">
        <f t="shared" si="2"/>
        <v>4.66980252102144</v>
      </c>
      <c r="P11" s="5">
        <f t="shared" si="3"/>
        <v>201.3830421504</v>
      </c>
    </row>
    <row r="12" spans="1:16" x14ac:dyDescent="0.25">
      <c r="A12" s="2" t="s">
        <v>10</v>
      </c>
      <c r="B12" s="2" t="s">
        <v>8</v>
      </c>
      <c r="C12" s="1">
        <v>12</v>
      </c>
      <c r="D12" s="1">
        <f>D11-30</f>
        <v>3100</v>
      </c>
      <c r="E12" s="1">
        <f>E11-30</f>
        <v>1250</v>
      </c>
      <c r="F12" s="1">
        <v>22.8</v>
      </c>
      <c r="G12" s="3">
        <f t="shared" si="0"/>
        <v>88.350000000000009</v>
      </c>
      <c r="H12" s="1">
        <v>0.9</v>
      </c>
      <c r="I12" s="1">
        <v>1</v>
      </c>
      <c r="J12" s="1">
        <v>1</v>
      </c>
      <c r="K12" s="3">
        <v>1</v>
      </c>
      <c r="L12" s="4">
        <f t="shared" si="1"/>
        <v>0.47244094488188981</v>
      </c>
      <c r="M12" s="4">
        <f t="shared" si="1"/>
        <v>122.04724409448819</v>
      </c>
      <c r="N12" s="4">
        <f t="shared" si="1"/>
        <v>49.212598425196852</v>
      </c>
      <c r="O12" s="5">
        <f t="shared" si="2"/>
        <v>4.66980252102144</v>
      </c>
      <c r="P12" s="5">
        <f t="shared" si="3"/>
        <v>194.778177</v>
      </c>
    </row>
    <row r="13" spans="1:16" x14ac:dyDescent="0.25">
      <c r="A13" s="2" t="s">
        <v>10</v>
      </c>
      <c r="B13" s="2" t="s">
        <v>7</v>
      </c>
      <c r="C13" s="1">
        <v>12</v>
      </c>
      <c r="D13" s="1">
        <v>2530</v>
      </c>
      <c r="E13" s="1">
        <v>1280</v>
      </c>
      <c r="F13" s="1">
        <v>22.8</v>
      </c>
      <c r="G13" s="3">
        <f t="shared" si="0"/>
        <v>73.835520000000002</v>
      </c>
      <c r="H13" s="1">
        <v>0.9</v>
      </c>
      <c r="I13" s="1">
        <v>16</v>
      </c>
      <c r="J13" s="1">
        <v>6</v>
      </c>
      <c r="K13" s="3">
        <v>2.5</v>
      </c>
      <c r="L13" s="4">
        <f t="shared" si="1"/>
        <v>0.47244094488188981</v>
      </c>
      <c r="M13" s="4">
        <f t="shared" si="1"/>
        <v>99.606299212598429</v>
      </c>
      <c r="N13" s="4">
        <f t="shared" si="1"/>
        <v>50.393700787401578</v>
      </c>
      <c r="O13" s="5">
        <f t="shared" si="2"/>
        <v>4.66980252102144</v>
      </c>
      <c r="P13" s="5">
        <f t="shared" si="3"/>
        <v>162.77926410239999</v>
      </c>
    </row>
    <row r="14" spans="1:16" x14ac:dyDescent="0.25">
      <c r="A14" s="2" t="s">
        <v>10</v>
      </c>
      <c r="B14" s="2" t="s">
        <v>8</v>
      </c>
      <c r="C14" s="1">
        <v>12</v>
      </c>
      <c r="D14" s="1">
        <f>D13-30</f>
        <v>2500</v>
      </c>
      <c r="E14" s="1">
        <f>E13-30</f>
        <v>1250</v>
      </c>
      <c r="F14" s="1">
        <v>22.8</v>
      </c>
      <c r="G14" s="3">
        <f t="shared" si="0"/>
        <v>71.25</v>
      </c>
      <c r="H14" s="1">
        <v>0.9</v>
      </c>
      <c r="I14" s="1">
        <v>1</v>
      </c>
      <c r="J14" s="1">
        <v>1</v>
      </c>
      <c r="K14" s="3">
        <v>1</v>
      </c>
      <c r="L14" s="4">
        <f t="shared" si="1"/>
        <v>0.47244094488188981</v>
      </c>
      <c r="M14" s="4">
        <f t="shared" si="1"/>
        <v>98.425196850393704</v>
      </c>
      <c r="N14" s="4">
        <f t="shared" si="1"/>
        <v>49.212598425196852</v>
      </c>
      <c r="O14" s="5">
        <f t="shared" si="2"/>
        <v>4.66980252102144</v>
      </c>
      <c r="P14" s="5">
        <f t="shared" si="3"/>
        <v>157.07917499999999</v>
      </c>
    </row>
    <row r="15" spans="1:16" x14ac:dyDescent="0.25">
      <c r="A15" s="2" t="s">
        <v>11</v>
      </c>
      <c r="B15" s="2" t="s">
        <v>7</v>
      </c>
      <c r="C15" s="1">
        <v>8</v>
      </c>
      <c r="D15" s="1">
        <v>3130</v>
      </c>
      <c r="E15" s="1">
        <v>1280</v>
      </c>
      <c r="F15" s="1">
        <v>14.9</v>
      </c>
      <c r="G15" s="3">
        <f t="shared" si="0"/>
        <v>59.695359999999994</v>
      </c>
      <c r="H15" s="1">
        <v>0.8</v>
      </c>
      <c r="I15" s="1">
        <v>12</v>
      </c>
      <c r="J15" s="1">
        <v>6</v>
      </c>
      <c r="K15" s="3">
        <v>2.5</v>
      </c>
      <c r="L15" s="4">
        <f t="shared" si="1"/>
        <v>0.31496062992125984</v>
      </c>
      <c r="M15" s="4">
        <f>D15/25.4</f>
        <v>123.22834645669292</v>
      </c>
      <c r="N15" s="4">
        <f>E15/25.4</f>
        <v>50.393700787401578</v>
      </c>
      <c r="O15" s="5">
        <f t="shared" si="2"/>
        <v>3.0517569106675202</v>
      </c>
      <c r="P15" s="5">
        <f t="shared" si="3"/>
        <v>131.60558456319998</v>
      </c>
    </row>
    <row r="16" spans="1:16" x14ac:dyDescent="0.25">
      <c r="A16" s="2" t="s">
        <v>11</v>
      </c>
      <c r="B16" s="2" t="s">
        <v>8</v>
      </c>
      <c r="C16" s="1">
        <v>8</v>
      </c>
      <c r="D16" s="1">
        <f>D15-30</f>
        <v>3100</v>
      </c>
      <c r="E16" s="1">
        <f>E15-30</f>
        <v>1250</v>
      </c>
      <c r="F16" s="1">
        <v>14.9</v>
      </c>
      <c r="G16" s="3">
        <f t="shared" si="0"/>
        <v>57.737500000000004</v>
      </c>
      <c r="H16" s="1">
        <v>0.8</v>
      </c>
      <c r="I16" s="1">
        <v>1</v>
      </c>
      <c r="J16" s="1">
        <v>1</v>
      </c>
      <c r="K16" s="3">
        <v>1</v>
      </c>
      <c r="L16" s="4">
        <f t="shared" si="1"/>
        <v>0.31496062992125984</v>
      </c>
      <c r="M16" s="4">
        <f t="shared" si="1"/>
        <v>122.04724409448819</v>
      </c>
      <c r="N16" s="4">
        <f t="shared" si="1"/>
        <v>49.212598425196852</v>
      </c>
      <c r="O16" s="5">
        <f t="shared" si="2"/>
        <v>3.0517569106675202</v>
      </c>
      <c r="P16" s="5">
        <f t="shared" si="3"/>
        <v>127.28924725</v>
      </c>
    </row>
    <row r="17" spans="1:16" x14ac:dyDescent="0.25">
      <c r="A17" s="2" t="s">
        <v>11</v>
      </c>
      <c r="B17" s="2" t="s">
        <v>7</v>
      </c>
      <c r="C17" s="1">
        <v>8</v>
      </c>
      <c r="D17" s="1">
        <v>2530</v>
      </c>
      <c r="E17" s="1">
        <v>1280</v>
      </c>
      <c r="F17" s="1">
        <v>14.9</v>
      </c>
      <c r="G17" s="3">
        <f t="shared" si="0"/>
        <v>48.252160000000003</v>
      </c>
      <c r="H17" s="1">
        <v>0.8</v>
      </c>
      <c r="I17" s="1">
        <v>12</v>
      </c>
      <c r="J17" s="1">
        <v>6</v>
      </c>
      <c r="K17" s="3">
        <v>2.5</v>
      </c>
      <c r="L17" s="4">
        <f t="shared" si="1"/>
        <v>0.31496062992125984</v>
      </c>
      <c r="M17" s="4">
        <f t="shared" si="1"/>
        <v>99.606299212598429</v>
      </c>
      <c r="N17" s="4">
        <f t="shared" si="1"/>
        <v>50.393700787401578</v>
      </c>
      <c r="O17" s="5">
        <f t="shared" si="2"/>
        <v>3.0517569106675202</v>
      </c>
      <c r="P17" s="5">
        <f t="shared" si="3"/>
        <v>106.3776769792</v>
      </c>
    </row>
    <row r="18" spans="1:16" x14ac:dyDescent="0.25">
      <c r="A18" s="2" t="s">
        <v>11</v>
      </c>
      <c r="B18" s="2" t="s">
        <v>8</v>
      </c>
      <c r="C18" s="1">
        <v>8</v>
      </c>
      <c r="D18" s="1">
        <f>D17-30</f>
        <v>2500</v>
      </c>
      <c r="E18" s="1">
        <f>E17-30</f>
        <v>1250</v>
      </c>
      <c r="F18" s="1">
        <v>14.9</v>
      </c>
      <c r="G18" s="3">
        <f t="shared" si="0"/>
        <v>46.5625</v>
      </c>
      <c r="H18" s="1">
        <v>0.8</v>
      </c>
      <c r="I18" s="1">
        <v>1</v>
      </c>
      <c r="J18" s="1">
        <v>1</v>
      </c>
      <c r="K18" s="3">
        <v>1</v>
      </c>
      <c r="L18" s="4">
        <f t="shared" si="1"/>
        <v>0.31496062992125984</v>
      </c>
      <c r="M18" s="4">
        <f t="shared" si="1"/>
        <v>98.425196850393704</v>
      </c>
      <c r="N18" s="4">
        <f t="shared" si="1"/>
        <v>49.212598425196852</v>
      </c>
      <c r="O18" s="5">
        <f t="shared" si="2"/>
        <v>3.0517569106675202</v>
      </c>
      <c r="P18" s="5">
        <f t="shared" si="3"/>
        <v>102.65261874999999</v>
      </c>
    </row>
    <row r="19" spans="1:16" x14ac:dyDescent="0.25">
      <c r="A19" s="2" t="s">
        <v>11</v>
      </c>
      <c r="B19" s="2" t="s">
        <v>7</v>
      </c>
      <c r="C19" s="1">
        <v>12</v>
      </c>
      <c r="D19" s="1">
        <v>3130</v>
      </c>
      <c r="E19" s="1">
        <v>1280</v>
      </c>
      <c r="F19" s="1">
        <v>14.9</v>
      </c>
      <c r="G19" s="3">
        <f t="shared" si="0"/>
        <v>59.695359999999994</v>
      </c>
      <c r="H19" s="1">
        <v>1</v>
      </c>
      <c r="I19" s="1">
        <v>16</v>
      </c>
      <c r="J19" s="1">
        <v>6</v>
      </c>
      <c r="K19" s="3">
        <v>2.5</v>
      </c>
      <c r="L19" s="4">
        <f t="shared" si="1"/>
        <v>0.47244094488188981</v>
      </c>
      <c r="M19" s="4">
        <f>D19/25.4</f>
        <v>123.22834645669292</v>
      </c>
      <c r="N19" s="4">
        <f>E19/25.4</f>
        <v>50.393700787401578</v>
      </c>
      <c r="O19" s="5">
        <f t="shared" si="2"/>
        <v>3.0517569106675202</v>
      </c>
      <c r="P19" s="5">
        <f t="shared" si="3"/>
        <v>131.60558456319998</v>
      </c>
    </row>
    <row r="20" spans="1:16" x14ac:dyDescent="0.25">
      <c r="A20" s="2" t="s">
        <v>11</v>
      </c>
      <c r="B20" s="2" t="s">
        <v>8</v>
      </c>
      <c r="C20" s="1">
        <v>12</v>
      </c>
      <c r="D20" s="1">
        <f>D19-30</f>
        <v>3100</v>
      </c>
      <c r="E20" s="1">
        <f>E19-30</f>
        <v>1250</v>
      </c>
      <c r="F20" s="1">
        <v>14.9</v>
      </c>
      <c r="G20" s="3">
        <f t="shared" si="0"/>
        <v>57.737500000000004</v>
      </c>
      <c r="H20" s="1">
        <v>1</v>
      </c>
      <c r="I20" s="1">
        <v>1</v>
      </c>
      <c r="J20" s="1">
        <v>1</v>
      </c>
      <c r="K20" s="3">
        <v>1</v>
      </c>
      <c r="L20" s="4">
        <f t="shared" si="1"/>
        <v>0.47244094488188981</v>
      </c>
      <c r="M20" s="4">
        <f t="shared" si="1"/>
        <v>122.04724409448819</v>
      </c>
      <c r="N20" s="4">
        <f t="shared" si="1"/>
        <v>49.212598425196852</v>
      </c>
      <c r="O20" s="5">
        <f t="shared" si="2"/>
        <v>3.0517569106675202</v>
      </c>
      <c r="P20" s="5">
        <f t="shared" si="3"/>
        <v>127.28924725</v>
      </c>
    </row>
    <row r="21" spans="1:16" x14ac:dyDescent="0.25">
      <c r="A21" s="2" t="s">
        <v>11</v>
      </c>
      <c r="B21" s="2" t="s">
        <v>7</v>
      </c>
      <c r="C21" s="1">
        <v>12</v>
      </c>
      <c r="D21" s="1">
        <v>2530</v>
      </c>
      <c r="E21" s="1">
        <v>1280</v>
      </c>
      <c r="F21" s="1">
        <v>14.9</v>
      </c>
      <c r="G21" s="3">
        <f t="shared" si="0"/>
        <v>48.252160000000003</v>
      </c>
      <c r="H21" s="1">
        <v>1</v>
      </c>
      <c r="I21" s="1">
        <v>16</v>
      </c>
      <c r="J21" s="1">
        <v>6</v>
      </c>
      <c r="K21" s="3">
        <v>2.5</v>
      </c>
      <c r="L21" s="4">
        <f t="shared" si="1"/>
        <v>0.47244094488188981</v>
      </c>
      <c r="M21" s="4">
        <f t="shared" si="1"/>
        <v>99.606299212598429</v>
      </c>
      <c r="N21" s="4">
        <f t="shared" si="1"/>
        <v>50.393700787401578</v>
      </c>
      <c r="O21" s="5">
        <f t="shared" si="2"/>
        <v>3.0517569106675202</v>
      </c>
      <c r="P21" s="5">
        <f t="shared" si="3"/>
        <v>106.3776769792</v>
      </c>
    </row>
    <row r="22" spans="1:16" x14ac:dyDescent="0.25">
      <c r="A22" s="2" t="s">
        <v>11</v>
      </c>
      <c r="B22" s="2" t="s">
        <v>8</v>
      </c>
      <c r="C22" s="1">
        <v>12</v>
      </c>
      <c r="D22" s="1">
        <f>D21-30</f>
        <v>2500</v>
      </c>
      <c r="E22" s="1">
        <f>E21-30</f>
        <v>1250</v>
      </c>
      <c r="F22" s="1">
        <v>14.9</v>
      </c>
      <c r="G22" s="3">
        <f t="shared" si="0"/>
        <v>46.5625</v>
      </c>
      <c r="H22" s="1">
        <v>1</v>
      </c>
      <c r="I22" s="1">
        <v>1</v>
      </c>
      <c r="J22" s="1">
        <v>1</v>
      </c>
      <c r="K22" s="3">
        <v>1</v>
      </c>
      <c r="L22" s="4">
        <f t="shared" si="1"/>
        <v>0.47244094488188981</v>
      </c>
      <c r="M22" s="4">
        <f t="shared" si="1"/>
        <v>98.425196850393704</v>
      </c>
      <c r="N22" s="4">
        <f t="shared" si="1"/>
        <v>49.212598425196852</v>
      </c>
      <c r="O22" s="5">
        <f t="shared" si="2"/>
        <v>3.0517569106675202</v>
      </c>
      <c r="P22" s="5">
        <f t="shared" si="3"/>
        <v>102.65261874999999</v>
      </c>
    </row>
    <row r="23" spans="1:16" x14ac:dyDescent="0.25">
      <c r="A23" s="2" t="s">
        <v>12</v>
      </c>
      <c r="B23" s="2" t="s">
        <v>7</v>
      </c>
      <c r="C23" s="1">
        <v>8</v>
      </c>
      <c r="D23" s="1">
        <v>3130</v>
      </c>
      <c r="E23" s="1">
        <v>1280</v>
      </c>
      <c r="F23" s="1">
        <v>14.9</v>
      </c>
      <c r="G23" s="3">
        <f t="shared" si="0"/>
        <v>59.695359999999994</v>
      </c>
      <c r="H23" s="1">
        <v>0.8</v>
      </c>
      <c r="I23" s="1">
        <v>12</v>
      </c>
      <c r="J23" s="1">
        <v>6</v>
      </c>
      <c r="K23" s="3">
        <v>2.5</v>
      </c>
      <c r="L23" s="4">
        <f t="shared" si="1"/>
        <v>0.31496062992125984</v>
      </c>
      <c r="M23" s="4">
        <f>D23/25.4</f>
        <v>123.22834645669292</v>
      </c>
      <c r="N23" s="4">
        <f>E23/25.4</f>
        <v>50.393700787401578</v>
      </c>
      <c r="O23" s="5">
        <f t="shared" si="2"/>
        <v>3.0517569106675202</v>
      </c>
      <c r="P23" s="5">
        <f t="shared" si="3"/>
        <v>131.60558456319998</v>
      </c>
    </row>
    <row r="24" spans="1:16" x14ac:dyDescent="0.25">
      <c r="A24" s="2" t="s">
        <v>12</v>
      </c>
      <c r="B24" s="2" t="s">
        <v>8</v>
      </c>
      <c r="C24" s="1">
        <v>8</v>
      </c>
      <c r="D24" s="1">
        <f>D23-30</f>
        <v>3100</v>
      </c>
      <c r="E24" s="1">
        <f>E23-30</f>
        <v>1250</v>
      </c>
      <c r="F24" s="1">
        <v>14.9</v>
      </c>
      <c r="G24" s="3">
        <f t="shared" si="0"/>
        <v>57.737500000000004</v>
      </c>
      <c r="H24" s="1">
        <v>0.8</v>
      </c>
      <c r="I24" s="1">
        <v>1</v>
      </c>
      <c r="J24" s="1">
        <v>1</v>
      </c>
      <c r="K24" s="3">
        <v>1</v>
      </c>
      <c r="L24" s="4">
        <f t="shared" si="1"/>
        <v>0.31496062992125984</v>
      </c>
      <c r="M24" s="4">
        <f t="shared" si="1"/>
        <v>122.04724409448819</v>
      </c>
      <c r="N24" s="4">
        <f t="shared" si="1"/>
        <v>49.212598425196852</v>
      </c>
      <c r="O24" s="5">
        <f t="shared" si="2"/>
        <v>3.0517569106675202</v>
      </c>
      <c r="P24" s="5">
        <f t="shared" si="3"/>
        <v>127.28924725</v>
      </c>
    </row>
    <row r="25" spans="1:16" x14ac:dyDescent="0.25">
      <c r="A25" s="2" t="s">
        <v>12</v>
      </c>
      <c r="B25" s="2" t="s">
        <v>7</v>
      </c>
      <c r="C25" s="1">
        <v>8</v>
      </c>
      <c r="D25" s="1">
        <v>2530</v>
      </c>
      <c r="E25" s="1">
        <v>1280</v>
      </c>
      <c r="F25" s="1">
        <v>14.9</v>
      </c>
      <c r="G25" s="3">
        <f t="shared" si="0"/>
        <v>48.252160000000003</v>
      </c>
      <c r="H25" s="1">
        <v>0.8</v>
      </c>
      <c r="I25" s="1">
        <v>12</v>
      </c>
      <c r="J25" s="1">
        <v>6</v>
      </c>
      <c r="K25" s="3">
        <v>2.5</v>
      </c>
      <c r="L25" s="4">
        <f t="shared" si="1"/>
        <v>0.31496062992125984</v>
      </c>
      <c r="M25" s="4">
        <f t="shared" si="1"/>
        <v>99.606299212598429</v>
      </c>
      <c r="N25" s="4">
        <f t="shared" si="1"/>
        <v>50.393700787401578</v>
      </c>
      <c r="O25" s="5">
        <f t="shared" si="2"/>
        <v>3.0517569106675202</v>
      </c>
      <c r="P25" s="5">
        <f t="shared" si="3"/>
        <v>106.3776769792</v>
      </c>
    </row>
    <row r="26" spans="1:16" x14ac:dyDescent="0.25">
      <c r="A26" s="2" t="s">
        <v>12</v>
      </c>
      <c r="B26" s="2" t="s">
        <v>8</v>
      </c>
      <c r="C26" s="1">
        <v>8</v>
      </c>
      <c r="D26" s="1">
        <f>D25-30</f>
        <v>2500</v>
      </c>
      <c r="E26" s="1">
        <f>E25-30</f>
        <v>1250</v>
      </c>
      <c r="F26" s="1">
        <v>14.9</v>
      </c>
      <c r="G26" s="3">
        <f t="shared" si="0"/>
        <v>46.5625</v>
      </c>
      <c r="H26" s="1">
        <v>0.8</v>
      </c>
      <c r="I26" s="1">
        <v>1</v>
      </c>
      <c r="J26" s="1">
        <v>1</v>
      </c>
      <c r="K26" s="3">
        <v>1</v>
      </c>
      <c r="L26" s="4">
        <f t="shared" si="1"/>
        <v>0.31496062992125984</v>
      </c>
      <c r="M26" s="4">
        <f t="shared" si="1"/>
        <v>98.425196850393704</v>
      </c>
      <c r="N26" s="4">
        <f t="shared" si="1"/>
        <v>49.212598425196852</v>
      </c>
      <c r="O26" s="5">
        <f t="shared" si="2"/>
        <v>3.0517569106675202</v>
      </c>
      <c r="P26" s="5">
        <f t="shared" si="3"/>
        <v>102.65261874999999</v>
      </c>
    </row>
    <row r="27" spans="1:16" x14ac:dyDescent="0.25">
      <c r="A27" s="2" t="s">
        <v>12</v>
      </c>
      <c r="B27" s="2" t="s">
        <v>7</v>
      </c>
      <c r="C27" s="1">
        <v>12</v>
      </c>
      <c r="D27" s="1">
        <v>3130</v>
      </c>
      <c r="E27" s="1">
        <v>1280</v>
      </c>
      <c r="F27" s="1">
        <v>14.9</v>
      </c>
      <c r="G27" s="3">
        <f t="shared" si="0"/>
        <v>59.695359999999994</v>
      </c>
      <c r="H27" s="1">
        <v>1</v>
      </c>
      <c r="I27" s="1">
        <v>16</v>
      </c>
      <c r="J27" s="1">
        <v>6</v>
      </c>
      <c r="K27" s="3">
        <v>2.5</v>
      </c>
      <c r="L27" s="4">
        <f t="shared" si="1"/>
        <v>0.47244094488188981</v>
      </c>
      <c r="M27" s="4">
        <f>D27/25.4</f>
        <v>123.22834645669292</v>
      </c>
      <c r="N27" s="4">
        <f>E27/25.4</f>
        <v>50.393700787401578</v>
      </c>
      <c r="O27" s="5">
        <f t="shared" si="2"/>
        <v>3.0517569106675202</v>
      </c>
      <c r="P27" s="5">
        <f t="shared" si="3"/>
        <v>131.60558456319998</v>
      </c>
    </row>
    <row r="28" spans="1:16" x14ac:dyDescent="0.25">
      <c r="A28" s="2" t="s">
        <v>12</v>
      </c>
      <c r="B28" s="2" t="s">
        <v>8</v>
      </c>
      <c r="C28" s="1">
        <v>12</v>
      </c>
      <c r="D28" s="1">
        <f>D27-30</f>
        <v>3100</v>
      </c>
      <c r="E28" s="1">
        <f>E27-30</f>
        <v>1250</v>
      </c>
      <c r="F28" s="1">
        <v>14.9</v>
      </c>
      <c r="G28" s="3">
        <f t="shared" si="0"/>
        <v>57.737500000000004</v>
      </c>
      <c r="H28" s="1">
        <v>1</v>
      </c>
      <c r="I28" s="1">
        <v>1</v>
      </c>
      <c r="J28" s="1">
        <v>1</v>
      </c>
      <c r="K28" s="3">
        <v>1</v>
      </c>
      <c r="L28" s="4">
        <f t="shared" si="1"/>
        <v>0.47244094488188981</v>
      </c>
      <c r="M28" s="4">
        <f t="shared" si="1"/>
        <v>122.04724409448819</v>
      </c>
      <c r="N28" s="4">
        <f t="shared" si="1"/>
        <v>49.212598425196852</v>
      </c>
      <c r="O28" s="5">
        <f t="shared" si="2"/>
        <v>3.0517569106675202</v>
      </c>
      <c r="P28" s="5">
        <f t="shared" si="3"/>
        <v>127.28924725</v>
      </c>
    </row>
    <row r="29" spans="1:16" x14ac:dyDescent="0.25">
      <c r="A29" s="2" t="s">
        <v>12</v>
      </c>
      <c r="B29" s="2" t="s">
        <v>7</v>
      </c>
      <c r="C29" s="1">
        <v>12</v>
      </c>
      <c r="D29" s="1">
        <v>2530</v>
      </c>
      <c r="E29" s="1">
        <v>1280</v>
      </c>
      <c r="F29" s="1">
        <v>14.9</v>
      </c>
      <c r="G29" s="3">
        <f t="shared" si="0"/>
        <v>48.252160000000003</v>
      </c>
      <c r="H29" s="1">
        <v>1</v>
      </c>
      <c r="I29" s="1">
        <v>16</v>
      </c>
      <c r="J29" s="1">
        <v>6</v>
      </c>
      <c r="K29" s="3">
        <v>2.5</v>
      </c>
      <c r="L29" s="4">
        <f t="shared" si="1"/>
        <v>0.47244094488188981</v>
      </c>
      <c r="M29" s="4">
        <f t="shared" si="1"/>
        <v>99.606299212598429</v>
      </c>
      <c r="N29" s="4">
        <f t="shared" si="1"/>
        <v>50.393700787401578</v>
      </c>
      <c r="O29" s="5">
        <f t="shared" si="2"/>
        <v>3.0517569106675202</v>
      </c>
      <c r="P29" s="5">
        <f t="shared" si="3"/>
        <v>106.3776769792</v>
      </c>
    </row>
    <row r="30" spans="1:16" x14ac:dyDescent="0.25">
      <c r="A30" s="2" t="s">
        <v>12</v>
      </c>
      <c r="B30" s="2" t="s">
        <v>8</v>
      </c>
      <c r="C30" s="1">
        <v>12</v>
      </c>
      <c r="D30" s="1">
        <f>D29-30</f>
        <v>2500</v>
      </c>
      <c r="E30" s="1">
        <f>E29-30</f>
        <v>1250</v>
      </c>
      <c r="F30" s="1">
        <v>14.9</v>
      </c>
      <c r="G30" s="3">
        <f t="shared" si="0"/>
        <v>46.5625</v>
      </c>
      <c r="H30" s="1">
        <v>1</v>
      </c>
      <c r="I30" s="1">
        <v>1</v>
      </c>
      <c r="J30" s="1">
        <v>1</v>
      </c>
      <c r="K30" s="3">
        <v>1</v>
      </c>
      <c r="L30" s="4">
        <f t="shared" si="1"/>
        <v>0.47244094488188981</v>
      </c>
      <c r="M30" s="4">
        <f t="shared" si="1"/>
        <v>98.425196850393704</v>
      </c>
      <c r="N30" s="4">
        <f t="shared" si="1"/>
        <v>49.212598425196852</v>
      </c>
      <c r="O30" s="5">
        <f t="shared" si="2"/>
        <v>3.0517569106675202</v>
      </c>
      <c r="P30" s="5">
        <f t="shared" si="3"/>
        <v>102.65261874999999</v>
      </c>
    </row>
    <row r="31" spans="1:16" x14ac:dyDescent="0.25">
      <c r="A31" s="2" t="s">
        <v>13</v>
      </c>
      <c r="B31" s="2" t="s">
        <v>7</v>
      </c>
      <c r="C31" s="1">
        <v>8</v>
      </c>
      <c r="D31" s="1">
        <v>3130</v>
      </c>
      <c r="E31" s="1">
        <v>1280</v>
      </c>
      <c r="F31" s="1">
        <v>14.9</v>
      </c>
      <c r="G31" s="3">
        <f t="shared" si="0"/>
        <v>59.695359999999994</v>
      </c>
      <c r="H31" s="1">
        <v>0.6</v>
      </c>
      <c r="I31" s="1">
        <v>12</v>
      </c>
      <c r="J31" s="1">
        <v>6</v>
      </c>
      <c r="K31" s="3">
        <v>2.5</v>
      </c>
      <c r="L31" s="4">
        <f t="shared" si="1"/>
        <v>0.31496062992125984</v>
      </c>
      <c r="M31" s="4">
        <f>D31/25.4</f>
        <v>123.22834645669292</v>
      </c>
      <c r="N31" s="4">
        <f>E31/25.4</f>
        <v>50.393700787401578</v>
      </c>
      <c r="O31" s="5">
        <f t="shared" si="2"/>
        <v>3.0517569106675202</v>
      </c>
      <c r="P31" s="5">
        <f t="shared" si="3"/>
        <v>131.60558456319998</v>
      </c>
    </row>
    <row r="32" spans="1:16" x14ac:dyDescent="0.25">
      <c r="A32" s="2" t="s">
        <v>13</v>
      </c>
      <c r="B32" s="2" t="s">
        <v>8</v>
      </c>
      <c r="C32" s="1">
        <v>8</v>
      </c>
      <c r="D32" s="1">
        <f>D31-30</f>
        <v>3100</v>
      </c>
      <c r="E32" s="1">
        <f>E31-30</f>
        <v>1250</v>
      </c>
      <c r="F32" s="1">
        <v>14.9</v>
      </c>
      <c r="G32" s="3">
        <f t="shared" si="0"/>
        <v>57.737500000000004</v>
      </c>
      <c r="H32" s="1">
        <v>0.6</v>
      </c>
      <c r="I32" s="1">
        <v>1</v>
      </c>
      <c r="J32" s="1">
        <v>1</v>
      </c>
      <c r="K32" s="3">
        <v>1</v>
      </c>
      <c r="L32" s="4">
        <f t="shared" si="1"/>
        <v>0.31496062992125984</v>
      </c>
      <c r="M32" s="4">
        <f t="shared" si="1"/>
        <v>122.04724409448819</v>
      </c>
      <c r="N32" s="4">
        <f t="shared" si="1"/>
        <v>49.212598425196852</v>
      </c>
      <c r="O32" s="5">
        <f t="shared" si="2"/>
        <v>3.0517569106675202</v>
      </c>
      <c r="P32" s="5">
        <f t="shared" si="3"/>
        <v>127.28924725</v>
      </c>
    </row>
    <row r="33" spans="1:16" x14ac:dyDescent="0.25">
      <c r="A33" s="2" t="s">
        <v>13</v>
      </c>
      <c r="B33" s="2" t="s">
        <v>7</v>
      </c>
      <c r="C33" s="1">
        <v>8</v>
      </c>
      <c r="D33" s="1">
        <v>2530</v>
      </c>
      <c r="E33" s="1">
        <v>1280</v>
      </c>
      <c r="F33" s="1">
        <v>14.9</v>
      </c>
      <c r="G33" s="3">
        <f t="shared" si="0"/>
        <v>48.252160000000003</v>
      </c>
      <c r="H33" s="1">
        <v>0.6</v>
      </c>
      <c r="I33" s="1">
        <v>12</v>
      </c>
      <c r="J33" s="1">
        <v>6</v>
      </c>
      <c r="K33" s="3">
        <v>2.5</v>
      </c>
      <c r="L33" s="4">
        <f t="shared" si="1"/>
        <v>0.31496062992125984</v>
      </c>
      <c r="M33" s="4">
        <f t="shared" si="1"/>
        <v>99.606299212598429</v>
      </c>
      <c r="N33" s="4">
        <f t="shared" si="1"/>
        <v>50.393700787401578</v>
      </c>
      <c r="O33" s="5">
        <f t="shared" si="2"/>
        <v>3.0517569106675202</v>
      </c>
      <c r="P33" s="5">
        <f t="shared" si="3"/>
        <v>106.3776769792</v>
      </c>
    </row>
    <row r="34" spans="1:16" x14ac:dyDescent="0.25">
      <c r="A34" s="2" t="s">
        <v>13</v>
      </c>
      <c r="B34" s="2" t="s">
        <v>8</v>
      </c>
      <c r="C34" s="1">
        <v>8</v>
      </c>
      <c r="D34" s="1">
        <f>D33-30</f>
        <v>2500</v>
      </c>
      <c r="E34" s="1">
        <f>E33-30</f>
        <v>1250</v>
      </c>
      <c r="F34" s="1">
        <v>14.9</v>
      </c>
      <c r="G34" s="3">
        <f t="shared" si="0"/>
        <v>46.5625</v>
      </c>
      <c r="H34" s="1">
        <v>0.6</v>
      </c>
      <c r="I34" s="1">
        <v>1</v>
      </c>
      <c r="J34" s="1">
        <v>1</v>
      </c>
      <c r="K34" s="3">
        <v>1</v>
      </c>
      <c r="L34" s="4">
        <f t="shared" si="1"/>
        <v>0.31496062992125984</v>
      </c>
      <c r="M34" s="4">
        <f t="shared" si="1"/>
        <v>98.425196850393704</v>
      </c>
      <c r="N34" s="4">
        <f t="shared" si="1"/>
        <v>49.212598425196852</v>
      </c>
      <c r="O34" s="5">
        <f t="shared" si="2"/>
        <v>3.0517569106675202</v>
      </c>
      <c r="P34" s="5">
        <f t="shared" si="3"/>
        <v>102.65261874999999</v>
      </c>
    </row>
    <row r="35" spans="1:16" x14ac:dyDescent="0.25">
      <c r="A35" s="2" t="s">
        <v>13</v>
      </c>
      <c r="B35" s="2" t="s">
        <v>7</v>
      </c>
      <c r="C35" s="1">
        <v>8</v>
      </c>
      <c r="D35" s="1">
        <v>3130</v>
      </c>
      <c r="E35" s="1">
        <v>1530</v>
      </c>
      <c r="F35" s="1">
        <v>14.9</v>
      </c>
      <c r="G35" s="3">
        <f t="shared" si="0"/>
        <v>71.354609999999994</v>
      </c>
      <c r="H35" s="1">
        <v>0.6</v>
      </c>
      <c r="I35" s="1">
        <v>12</v>
      </c>
      <c r="J35" s="1">
        <v>6</v>
      </c>
      <c r="K35" s="3">
        <v>2.5</v>
      </c>
      <c r="L35" s="4">
        <f t="shared" si="1"/>
        <v>0.31496062992125984</v>
      </c>
      <c r="M35" s="4">
        <f t="shared" si="1"/>
        <v>123.22834645669292</v>
      </c>
      <c r="N35" s="4">
        <f t="shared" si="1"/>
        <v>60.236220472440948</v>
      </c>
      <c r="O35" s="5">
        <f t="shared" si="2"/>
        <v>3.0517569106675202</v>
      </c>
      <c r="P35" s="5">
        <f t="shared" si="3"/>
        <v>157.30980029819997</v>
      </c>
    </row>
    <row r="36" spans="1:16" x14ac:dyDescent="0.25">
      <c r="A36" s="2" t="s">
        <v>13</v>
      </c>
      <c r="B36" s="2" t="s">
        <v>8</v>
      </c>
      <c r="C36" s="1">
        <v>8</v>
      </c>
      <c r="D36" s="1">
        <f>D35-30</f>
        <v>3100</v>
      </c>
      <c r="E36" s="1">
        <f>E35-30</f>
        <v>1500</v>
      </c>
      <c r="F36" s="1">
        <v>14.9</v>
      </c>
      <c r="G36" s="3">
        <f t="shared" si="0"/>
        <v>69.284999999999997</v>
      </c>
      <c r="H36" s="1">
        <v>0.6</v>
      </c>
      <c r="I36" s="1">
        <v>1</v>
      </c>
      <c r="J36" s="1">
        <v>1</v>
      </c>
      <c r="K36" s="3">
        <v>1</v>
      </c>
      <c r="L36" s="4">
        <f t="shared" si="1"/>
        <v>0.31496062992125984</v>
      </c>
      <c r="M36" s="4">
        <f t="shared" si="1"/>
        <v>122.04724409448819</v>
      </c>
      <c r="N36" s="4">
        <f t="shared" si="1"/>
        <v>59.055118110236222</v>
      </c>
      <c r="O36" s="5">
        <f t="shared" si="2"/>
        <v>3.0517569106675202</v>
      </c>
      <c r="P36" s="5">
        <f t="shared" si="3"/>
        <v>152.74709669999999</v>
      </c>
    </row>
    <row r="37" spans="1:16" x14ac:dyDescent="0.25">
      <c r="A37" s="2" t="s">
        <v>13</v>
      </c>
      <c r="B37" s="2" t="s">
        <v>7</v>
      </c>
      <c r="C37" s="1">
        <v>12</v>
      </c>
      <c r="D37" s="1">
        <v>3130</v>
      </c>
      <c r="E37" s="1">
        <v>1280</v>
      </c>
      <c r="F37" s="1">
        <v>14.9</v>
      </c>
      <c r="G37" s="3">
        <f t="shared" si="0"/>
        <v>59.695359999999994</v>
      </c>
      <c r="H37" s="1">
        <v>0.9</v>
      </c>
      <c r="I37" s="1">
        <v>16</v>
      </c>
      <c r="J37" s="1">
        <v>6</v>
      </c>
      <c r="K37" s="3">
        <v>2.5</v>
      </c>
      <c r="L37" s="4">
        <f t="shared" si="1"/>
        <v>0.47244094488188981</v>
      </c>
      <c r="M37" s="4">
        <f>D37/25.4</f>
        <v>123.22834645669292</v>
      </c>
      <c r="N37" s="4">
        <f>E37/25.4</f>
        <v>50.393700787401578</v>
      </c>
      <c r="O37" s="5">
        <f t="shared" si="2"/>
        <v>3.0517569106675202</v>
      </c>
      <c r="P37" s="5">
        <f t="shared" si="3"/>
        <v>131.60558456319998</v>
      </c>
    </row>
    <row r="38" spans="1:16" x14ac:dyDescent="0.25">
      <c r="A38" s="2" t="s">
        <v>13</v>
      </c>
      <c r="B38" s="2" t="s">
        <v>8</v>
      </c>
      <c r="C38" s="1">
        <v>12</v>
      </c>
      <c r="D38" s="1">
        <f>D37-30</f>
        <v>3100</v>
      </c>
      <c r="E38" s="1">
        <f>E37-30</f>
        <v>1250</v>
      </c>
      <c r="F38" s="1">
        <v>14.9</v>
      </c>
      <c r="G38" s="3">
        <f t="shared" si="0"/>
        <v>57.737500000000004</v>
      </c>
      <c r="H38" s="1">
        <v>0.9</v>
      </c>
      <c r="I38" s="1">
        <v>1</v>
      </c>
      <c r="J38" s="1">
        <v>1</v>
      </c>
      <c r="K38" s="3">
        <v>1</v>
      </c>
      <c r="L38" s="4">
        <f t="shared" si="1"/>
        <v>0.47244094488188981</v>
      </c>
      <c r="M38" s="4">
        <f t="shared" si="1"/>
        <v>122.04724409448819</v>
      </c>
      <c r="N38" s="4">
        <f t="shared" si="1"/>
        <v>49.212598425196852</v>
      </c>
      <c r="O38" s="5">
        <f t="shared" si="2"/>
        <v>3.0517569106675202</v>
      </c>
      <c r="P38" s="5">
        <f t="shared" si="3"/>
        <v>127.28924725</v>
      </c>
    </row>
    <row r="39" spans="1:16" x14ac:dyDescent="0.25">
      <c r="A39" s="2" t="s">
        <v>13</v>
      </c>
      <c r="B39" s="2" t="s">
        <v>7</v>
      </c>
      <c r="C39" s="1">
        <v>12</v>
      </c>
      <c r="D39" s="1">
        <v>2530</v>
      </c>
      <c r="E39" s="1">
        <v>1280</v>
      </c>
      <c r="F39" s="1">
        <v>14.9</v>
      </c>
      <c r="G39" s="3">
        <f t="shared" si="0"/>
        <v>48.252160000000003</v>
      </c>
      <c r="H39" s="1">
        <v>0.9</v>
      </c>
      <c r="I39" s="1">
        <v>16</v>
      </c>
      <c r="J39" s="1">
        <v>6</v>
      </c>
      <c r="K39" s="3">
        <v>2.5</v>
      </c>
      <c r="L39" s="4">
        <f t="shared" si="1"/>
        <v>0.47244094488188981</v>
      </c>
      <c r="M39" s="4">
        <f t="shared" si="1"/>
        <v>99.606299212598429</v>
      </c>
      <c r="N39" s="4">
        <f t="shared" si="1"/>
        <v>50.393700787401578</v>
      </c>
      <c r="O39" s="5">
        <f t="shared" si="2"/>
        <v>3.0517569106675202</v>
      </c>
      <c r="P39" s="5">
        <f t="shared" si="3"/>
        <v>106.3776769792</v>
      </c>
    </row>
    <row r="40" spans="1:16" x14ac:dyDescent="0.25">
      <c r="A40" s="2" t="s">
        <v>13</v>
      </c>
      <c r="B40" s="2" t="s">
        <v>8</v>
      </c>
      <c r="C40" s="1">
        <v>12</v>
      </c>
      <c r="D40" s="1">
        <f>D39-30</f>
        <v>2500</v>
      </c>
      <c r="E40" s="1">
        <f>E39-30</f>
        <v>1250</v>
      </c>
      <c r="F40" s="1">
        <v>14.9</v>
      </c>
      <c r="G40" s="3">
        <f t="shared" si="0"/>
        <v>46.5625</v>
      </c>
      <c r="H40" s="1">
        <v>0.9</v>
      </c>
      <c r="I40" s="1">
        <v>1</v>
      </c>
      <c r="J40" s="1">
        <v>1</v>
      </c>
      <c r="K40" s="3">
        <v>1</v>
      </c>
      <c r="L40" s="4">
        <f t="shared" si="1"/>
        <v>0.47244094488188981</v>
      </c>
      <c r="M40" s="4">
        <f t="shared" si="1"/>
        <v>98.425196850393704</v>
      </c>
      <c r="N40" s="4">
        <f t="shared" si="1"/>
        <v>49.212598425196852</v>
      </c>
      <c r="O40" s="5">
        <f t="shared" si="2"/>
        <v>3.0517569106675202</v>
      </c>
      <c r="P40" s="5">
        <f t="shared" si="3"/>
        <v>102.65261874999999</v>
      </c>
    </row>
    <row r="41" spans="1:16" x14ac:dyDescent="0.25">
      <c r="A41" s="2" t="s">
        <v>13</v>
      </c>
      <c r="B41" s="2" t="s">
        <v>7</v>
      </c>
      <c r="C41" s="1">
        <v>12</v>
      </c>
      <c r="D41" s="1">
        <v>3130</v>
      </c>
      <c r="E41" s="1">
        <v>1530</v>
      </c>
      <c r="F41" s="1">
        <v>14.9</v>
      </c>
      <c r="G41" s="3">
        <f t="shared" si="0"/>
        <v>71.354609999999994</v>
      </c>
      <c r="H41" s="1">
        <v>0.9</v>
      </c>
      <c r="I41" s="1">
        <v>16</v>
      </c>
      <c r="J41" s="1">
        <v>6</v>
      </c>
      <c r="K41" s="3">
        <v>2.5</v>
      </c>
      <c r="L41" s="4">
        <f t="shared" si="1"/>
        <v>0.47244094488188981</v>
      </c>
      <c r="M41" s="4">
        <f t="shared" si="1"/>
        <v>123.22834645669292</v>
      </c>
      <c r="N41" s="4">
        <f t="shared" si="1"/>
        <v>60.236220472440948</v>
      </c>
      <c r="O41" s="5">
        <f t="shared" si="2"/>
        <v>3.0517569106675202</v>
      </c>
      <c r="P41" s="5">
        <f t="shared" si="3"/>
        <v>157.30980029819997</v>
      </c>
    </row>
    <row r="42" spans="1:16" x14ac:dyDescent="0.25">
      <c r="A42" s="2" t="s">
        <v>13</v>
      </c>
      <c r="B42" s="2" t="s">
        <v>8</v>
      </c>
      <c r="C42" s="1">
        <v>12</v>
      </c>
      <c r="D42" s="1">
        <f>D41-30</f>
        <v>3100</v>
      </c>
      <c r="E42" s="1">
        <f>E41-30</f>
        <v>1500</v>
      </c>
      <c r="F42" s="1">
        <v>14.9</v>
      </c>
      <c r="G42" s="3">
        <f t="shared" si="0"/>
        <v>69.284999999999997</v>
      </c>
      <c r="H42" s="1">
        <v>0.9</v>
      </c>
      <c r="I42" s="1">
        <v>1</v>
      </c>
      <c r="J42" s="1">
        <v>1</v>
      </c>
      <c r="K42" s="3">
        <v>1</v>
      </c>
      <c r="L42" s="4">
        <f t="shared" si="1"/>
        <v>0.47244094488188981</v>
      </c>
      <c r="M42" s="4">
        <f t="shared" si="1"/>
        <v>122.04724409448819</v>
      </c>
      <c r="N42" s="4">
        <f t="shared" si="1"/>
        <v>59.055118110236222</v>
      </c>
      <c r="O42" s="5">
        <f t="shared" si="2"/>
        <v>3.0517569106675202</v>
      </c>
      <c r="P42" s="5">
        <f t="shared" si="3"/>
        <v>152.74709669999999</v>
      </c>
    </row>
  </sheetData>
  <mergeCells count="5">
    <mergeCell ref="C1:E1"/>
    <mergeCell ref="H1:K1"/>
    <mergeCell ref="A1:B1"/>
    <mergeCell ref="L1:P1"/>
    <mergeCell ref="F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>
                  <from>
                    <xdr:col>3</xdr:col>
                    <xdr:colOff>228600</xdr:colOff>
                    <xdr:row>2</xdr:row>
                    <xdr:rowOff>180975</xdr:rowOff>
                  </from>
                  <to>
                    <xdr:col>6</xdr:col>
                    <xdr:colOff>95250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2016-02-05T18:31:32Z</dcterms:created>
  <dcterms:modified xsi:type="dcterms:W3CDTF">2016-04-15T21:24:16Z</dcterms:modified>
</cp:coreProperties>
</file>